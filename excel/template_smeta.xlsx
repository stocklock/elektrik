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Электрик-Сыктывкар\adminka\excel\"/>
    </mc:Choice>
  </mc:AlternateContent>
  <xr:revisionPtr revIDLastSave="0" documentId="8_{EB2378F2-6768-45DD-AD43-934E7A6C31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" l="1"/>
  <c r="G23" i="1" l="1"/>
</calcChain>
</file>

<file path=xl/sharedStrings.xml><?xml version="1.0" encoding="utf-8"?>
<sst xmlns="http://schemas.openxmlformats.org/spreadsheetml/2006/main" count="25" uniqueCount="25">
  <si>
    <t>Давыдов Сергей Валерьевич</t>
  </si>
  <si>
    <t>ИНН 110601707107</t>
  </si>
  <si>
    <t>Адрес: 167004, г. Сыктывкар, ул. Сысольское шоссе, д.19, кв.9</t>
  </si>
  <si>
    <t>8 (912) 118 90 95</t>
  </si>
  <si>
    <t>elektrik-syktyvkar.ru</t>
  </si>
  <si>
    <t>davidoff.sv@yandex.ru</t>
  </si>
  <si>
    <t>№ п/п</t>
  </si>
  <si>
    <t>Наименование работ</t>
  </si>
  <si>
    <t>Ед. изм.</t>
  </si>
  <si>
    <t>Кол-во</t>
  </si>
  <si>
    <t>Стоимость единицы</t>
  </si>
  <si>
    <t>Стоимость работ</t>
  </si>
  <si>
    <t>Итого:</t>
  </si>
  <si>
    <t>Всего по смете</t>
  </si>
  <si>
    <t>________________/ Давыдов С.В.</t>
  </si>
  <si>
    <t>Приложение №2</t>
  </si>
  <si>
    <t>%</t>
  </si>
  <si>
    <t>НПД</t>
  </si>
  <si>
    <t>Смета № 17022025 на выполнение электромонтажных работ, ул. Ленина 41</t>
  </si>
  <si>
    <t>${description}</t>
  </si>
  <si>
    <t>${quantity}</t>
  </si>
  <si>
    <t>${ed}</t>
  </si>
  <si>
    <t>${price}</t>
  </si>
  <si>
    <t>${sum_price}</t>
  </si>
  <si>
    <t>${row_number}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</si>
</sst>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"/>
  </numFmts>
  <fonts count="19">
    <font>
      <sz val="10"/>
      <color rgb="FF000000"/>
      <name val="Liberation Sans"/>
      <charset val="204"/>
    </font>
    <font>
      <sz val="10"/>
      <color rgb="FF000000"/>
      <name val="Liberation Sans"/>
      <charset val="204"/>
    </font>
    <font>
      <u/>
      <sz val="10"/>
      <color rgb="FF0563C1"/>
      <name val="Liberation Sans"/>
      <charset val="204"/>
    </font>
    <font>
      <b/>
      <sz val="10"/>
      <color rgb="FF000000"/>
      <name val="Liberation Sans"/>
      <charset val="204"/>
    </font>
    <font>
      <sz val="10"/>
      <color rgb="FFFFFFFF"/>
      <name val="Liberation Sans"/>
      <charset val="204"/>
    </font>
    <font>
      <sz val="10"/>
      <color rgb="FFCC0000"/>
      <name val="Liberation Sans"/>
      <charset val="204"/>
    </font>
    <font>
      <b/>
      <sz val="10"/>
      <color rgb="FFFFFFFF"/>
      <name val="Liberation Sans"/>
      <charset val="204"/>
    </font>
    <font>
      <i/>
      <sz val="10"/>
      <color rgb="FF808080"/>
      <name val="Liberation Sans"/>
      <charset val="204"/>
    </font>
    <font>
      <sz val="10"/>
      <color rgb="FF006600"/>
      <name val="Liberation Sans"/>
      <charset val="204"/>
    </font>
    <font>
      <sz val="18"/>
      <color rgb="FF000000"/>
      <name val="Liberation Sans"/>
      <charset val="204"/>
    </font>
    <font>
      <sz val="12"/>
      <color rgb="FF000000"/>
      <name val="Liberation Sans"/>
      <charset val="204"/>
    </font>
    <font>
      <u/>
      <sz val="10"/>
      <color rgb="FF0000EE"/>
      <name val="Liberation Sans"/>
      <charset val="204"/>
    </font>
    <font>
      <sz val="10"/>
      <color rgb="FF996600"/>
      <name val="Liberation Sans"/>
      <charset val="204"/>
    </font>
    <font>
      <sz val="10"/>
      <color rgb="FF333333"/>
      <name val="Liberation Sans"/>
      <charset val="204"/>
    </font>
    <font>
      <b/>
      <sz val="10"/>
      <color rgb="FF000000"/>
      <name val="Liberation Serif"/>
      <charset val="204"/>
    </font>
    <font>
      <b/>
      <sz val="12"/>
      <color rgb="FF000000"/>
      <name val="Liberation Serif"/>
      <charset val="204"/>
    </font>
    <font>
      <b/>
      <sz val="10"/>
      <color theme="1"/>
      <name val="Liberation Serif"/>
      <charset val="204"/>
    </font>
    <font>
      <sz val="10"/>
      <color theme="1"/>
      <name val="Liberation Serif"/>
      <charset val="204"/>
    </font>
    <font>
      <b/>
      <sz val="12"/>
      <color theme="1"/>
      <name val="Liberation Serif"/>
      <charset val="204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Border="0" applyProtection="0"/>
    <xf numFmtId="0" fontId="4" fillId="2" borderId="0" applyNumberFormat="0" applyBorder="0" applyProtection="0"/>
    <xf numFmtId="0" fontId="4" fillId="3" borderId="0" applyNumberFormat="0" applyBorder="0" applyProtection="0"/>
    <xf numFmtId="0" fontId="3" fillId="4" borderId="0" applyNumberFormat="0" applyBorder="0" applyProtection="0"/>
    <xf numFmtId="0" fontId="5" fillId="5" borderId="0" applyNumberFormat="0" applyBorder="0" applyProtection="0"/>
    <xf numFmtId="0" fontId="6" fillId="6" borderId="0" applyNumberFormat="0" applyBorder="0" applyProtection="0"/>
    <xf numFmtId="0" fontId="7" fillId="0" borderId="0" applyNumberFormat="0" applyBorder="0" applyProtection="0"/>
    <xf numFmtId="0" fontId="8" fillId="7" borderId="0" applyNumberFormat="0" applyBorder="0" applyProtection="0"/>
    <xf numFmtId="0" fontId="1" fillId="0" borderId="0" applyNumberFormat="0" applyFon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5" fillId="0" borderId="0" applyNumberFormat="0" applyBorder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0" fontId="16" fillId="0" borderId="2" xfId="0" applyFont="1" applyBorder="1" applyAlignment="1">
      <alignment horizontal="center" wrapText="1"/>
    </xf>
    <xf numFmtId="0" fontId="17" fillId="0" borderId="2" xfId="0" applyFont="1" applyBorder="1" applyAlignment="1">
      <alignment horizontal="center" wrapText="1"/>
    </xf>
    <xf numFmtId="0" fontId="17" fillId="0" borderId="2" xfId="0" applyFont="1" applyBorder="1" applyAlignment="1">
      <alignment wrapText="1"/>
    </xf>
    <xf numFmtId="0" fontId="17" fillId="0" borderId="2" xfId="0" applyFont="1" applyBorder="1" applyAlignment="1">
      <alignment horizontal="center"/>
    </xf>
    <xf numFmtId="0" fontId="17" fillId="0" borderId="2" xfId="0" applyFont="1" applyBorder="1"/>
    <xf numFmtId="10" fontId="16" fillId="0" borderId="2" xfId="0" applyNumberFormat="1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0" fillId="0" borderId="5" xfId="0" applyBorder="1"/>
    <xf numFmtId="0" fontId="16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vertical="center"/>
    </xf>
    <xf numFmtId="0" fontId="17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6" fillId="0" borderId="3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18" fillId="0" borderId="2" xfId="0" applyFont="1" applyBorder="1" applyAlignment="1">
      <alignment horizontal="center" vertical="center" wrapText="1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16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horizontal="right" vertical="center" wrapText="1"/>
    </xf>
    <xf numFmtId="0" fontId="14" fillId="0" borderId="0" xfId="0" applyFont="1" applyAlignment="1">
      <alignment horizontal="left" vertical="center" wrapText="1"/>
    </xf>
    <xf numFmtId="0" fontId="2" fillId="0" borderId="0" xfId="1" applyAlignment="1">
      <alignment horizontal="right"/>
    </xf>
  </cellXfs>
  <cellStyles count="20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Error" xfId="7" xr:uid="{00000000-0005-0000-0000-000005000000}"/>
    <cellStyle name="Footnote" xfId="8" xr:uid="{00000000-0005-0000-0000-000006000000}"/>
    <cellStyle name="Good" xfId="9" xr:uid="{00000000-0005-0000-0000-000007000000}"/>
    <cellStyle name="Heading" xfId="10" xr:uid="{00000000-0005-0000-0000-000008000000}"/>
    <cellStyle name="Heading 1" xfId="11" xr:uid="{00000000-0005-0000-0000-000009000000}"/>
    <cellStyle name="Heading 2" xfId="12" xr:uid="{00000000-0005-0000-0000-00000A000000}"/>
    <cellStyle name="Hyperlink" xfId="13" xr:uid="{00000000-0005-0000-0000-00000B000000}"/>
    <cellStyle name="Neutral" xfId="14" xr:uid="{00000000-0005-0000-0000-00000C000000}"/>
    <cellStyle name="Note" xfId="15" xr:uid="{00000000-0005-0000-0000-00000D000000}"/>
    <cellStyle name="Result" xfId="16" xr:uid="{00000000-0005-0000-0000-00000E000000}"/>
    <cellStyle name="Status" xfId="17" xr:uid="{00000000-0005-0000-0000-00000F000000}"/>
    <cellStyle name="Text" xfId="18" xr:uid="{00000000-0005-0000-0000-000010000000}"/>
    <cellStyle name="Warning" xfId="19" xr:uid="{00000000-0005-0000-0000-000011000000}"/>
    <cellStyle name="Гиперссылка" xfId="1" xr:uid="{00000000-0005-0000-0000-000012000000}"/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3596850</xdr:colOff>
      <xdr:row>23</xdr:row>
      <xdr:rowOff>45720</xdr:rowOff>
    </xdr:from>
    <xdr:ext cx="1189076" cy="627122"/>
    <xdr:pic>
      <xdr:nvPicPr>
        <xdr:cNvPr id="3" name="Изображение 2">
          <a:extLst>
            <a:ext uri="{FF2B5EF4-FFF2-40B4-BE49-F238E27FC236}">
              <a16:creationId xmlns:a16="http://schemas.microsoft.com/office/drawing/2014/main" id="{4FBBFE45-18CA-67FD-5361-F3C8AAF9C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482675" y="9808845"/>
          <a:ext cx="1189076" cy="627122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15480</xdr:colOff>
      <xdr:row>0</xdr:row>
      <xdr:rowOff>7562</xdr:rowOff>
    </xdr:from>
    <xdr:ext cx="727560" cy="727560"/>
    <xdr:pic>
      <xdr:nvPicPr>
        <xdr:cNvPr id="2" name="Изображение 1">
          <a:extLst>
            <a:ext uri="{FF2B5EF4-FFF2-40B4-BE49-F238E27FC236}">
              <a16:creationId xmlns:a16="http://schemas.microsoft.com/office/drawing/2014/main" id="{05A21FD8-1639-8F40-A756-F5147E5A8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  <a:extLs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>
          <a:fillRect/>
        </a:stretch>
      </xdr:blipFill>
      <xdr:spPr>
        <a:xfrm>
          <a:off x="901305" y="7562"/>
          <a:ext cx="727560" cy="727560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vidoff.sv@yandex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0"/>
  <sheetViews>
    <sheetView tabSelected="1" topLeftCell="A4" workbookViewId="0">
      <selection activeCell="G10" sqref="G10"/>
    </sheetView>
  </sheetViews>
  <sheetFormatPr defaultRowHeight="12.75"/>
  <cols>
    <col min="1" max="1" width="4.42578125" customWidth="1"/>
    <col min="2" max="2" width="4.140625" customWidth="1"/>
    <col min="3" max="3" width="54.140625" style="3" customWidth="1"/>
    <col min="4" max="4" width="5.140625" style="1" customWidth="1"/>
    <col min="5" max="5" width="5.42578125" customWidth="1"/>
    <col min="6" max="7" width="11.140625" customWidth="1"/>
    <col min="8" max="8" width="9.140625" customWidth="1"/>
  </cols>
  <sheetData>
    <row r="1" spans="2:7">
      <c r="B1" s="26" t="s">
        <v>0</v>
      </c>
      <c r="C1" s="26"/>
      <c r="D1" s="26"/>
      <c r="E1" s="26"/>
      <c r="F1" s="26"/>
      <c r="G1" s="26"/>
    </row>
    <row r="2" spans="2:7">
      <c r="B2" s="26" t="s">
        <v>1</v>
      </c>
      <c r="C2" s="26"/>
      <c r="D2" s="26"/>
      <c r="E2" s="26"/>
      <c r="F2" s="26"/>
      <c r="G2" s="26"/>
    </row>
    <row r="3" spans="2:7">
      <c r="B3" s="26" t="s">
        <v>2</v>
      </c>
      <c r="C3" s="26"/>
      <c r="D3" s="26"/>
      <c r="E3" s="26"/>
      <c r="F3" s="26"/>
      <c r="G3" s="26"/>
    </row>
    <row r="4" spans="2:7">
      <c r="B4" s="26" t="s">
        <v>3</v>
      </c>
      <c r="C4" s="26"/>
      <c r="D4" s="26"/>
      <c r="E4" s="26"/>
      <c r="F4" s="26"/>
      <c r="G4" s="26"/>
    </row>
    <row r="5" spans="2:7">
      <c r="B5" s="27" t="s">
        <v>4</v>
      </c>
      <c r="C5" s="27"/>
      <c r="F5" s="28" t="s">
        <v>5</v>
      </c>
      <c r="G5" s="28"/>
    </row>
    <row r="6" spans="2:7" ht="15.75">
      <c r="B6" s="2"/>
      <c r="C6" s="21" t="s">
        <v>15</v>
      </c>
      <c r="D6" s="21"/>
      <c r="E6" s="21"/>
      <c r="F6" s="21"/>
      <c r="G6" s="21"/>
    </row>
    <row r="7" spans="2:7" ht="15.75" hidden="1">
      <c r="B7" s="2"/>
    </row>
    <row r="8" spans="2:7" ht="31.5" customHeight="1">
      <c r="B8" s="22" t="s">
        <v>18</v>
      </c>
      <c r="C8" s="22"/>
      <c r="D8" s="22"/>
      <c r="E8" s="22"/>
      <c r="F8" s="22"/>
      <c r="G8" s="22"/>
    </row>
    <row r="9" spans="2:7" ht="25.7" customHeight="1"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</row>
    <row r="10" spans="2:7" ht="14.25" customHeight="1">
      <c r="B10" t="s">
        <v>24</v>
      </c>
      <c r="C10" t="s">
        <v>19</v>
      </c>
      <c r="D10" t="s">
        <v>21</v>
      </c>
      <c r="E10" t="s">
        <v>20</v>
      </c>
      <c r="F10" t="s">
        <v>22</v>
      </c>
      <c r="G10" t="s">
        <v>23</v>
      </c>
    </row>
    <row r="11" spans="2:7" ht="15" customHeight="1">
      <c r="B11" s="7"/>
      <c r="C11" s="7"/>
      <c r="D11" s="7"/>
      <c r="E11" s="7"/>
      <c r="F11" s="7"/>
      <c r="G11" s="7"/>
    </row>
    <row r="12" spans="2:7" ht="14.25" customHeight="1">
      <c r="B12" s="7"/>
      <c r="C12" s="7"/>
      <c r="D12" s="7"/>
      <c r="E12" s="7"/>
      <c r="F12" s="7"/>
      <c r="G12" s="7"/>
    </row>
    <row r="13" spans="2:7" ht="13.5" customHeight="1">
      <c r="B13" s="25"/>
      <c r="C13" s="25"/>
      <c r="D13" s="7"/>
      <c r="E13" s="7"/>
      <c r="F13" s="7"/>
      <c r="G13" s="6"/>
    </row>
    <row r="14" spans="2:7" ht="14.85" customHeight="1">
      <c r="B14" s="6"/>
      <c r="C14" s="6"/>
      <c r="D14" s="6"/>
      <c r="E14" s="6"/>
      <c r="F14" s="6"/>
      <c r="G14" s="6"/>
    </row>
    <row r="15" spans="2:7" ht="28.5" customHeight="1">
      <c r="B15" s="14"/>
      <c r="C15" s="20"/>
      <c r="D15" s="19"/>
      <c r="E15" s="19"/>
      <c r="F15" s="19"/>
      <c r="G15" s="19"/>
    </row>
    <row r="16" spans="2:7" ht="13.5" customHeight="1">
      <c r="B16" s="18"/>
      <c r="C16" s="20"/>
      <c r="D16" s="19"/>
      <c r="E16" s="19"/>
      <c r="F16" s="19"/>
      <c r="G16" s="19"/>
    </row>
    <row r="17" spans="2:7" ht="14.85" customHeight="1">
      <c r="B17" s="25" t="s">
        <v>12</v>
      </c>
      <c r="C17" s="25"/>
      <c r="D17" s="9"/>
      <c r="E17" s="10"/>
      <c r="F17" s="10"/>
      <c r="G17" s="6"/>
    </row>
    <row r="18" spans="2:7" ht="15" customHeight="1">
      <c r="B18" s="13"/>
      <c r="C18" s="13"/>
      <c r="D18" s="13"/>
      <c r="E18" s="13"/>
      <c r="F18" s="13"/>
      <c r="G18" s="13"/>
    </row>
    <row r="19" spans="2:7" ht="15" customHeight="1">
      <c r="B19" s="6"/>
      <c r="C19" s="8"/>
      <c r="D19" s="9"/>
      <c r="E19" s="16"/>
      <c r="F19" s="11"/>
      <c r="G19" s="7"/>
    </row>
    <row r="20" spans="2:7">
      <c r="B20" s="6"/>
      <c r="C20" s="8"/>
      <c r="D20" s="9"/>
      <c r="E20" s="16"/>
      <c r="F20" s="11"/>
      <c r="G20" s="7"/>
    </row>
    <row r="21" spans="2:7">
      <c r="B21" s="6">
        <v>7</v>
      </c>
      <c r="C21" s="8" t="s">
        <v>17</v>
      </c>
      <c r="D21" s="9" t="s">
        <v>16</v>
      </c>
      <c r="E21" s="16">
        <v>6</v>
      </c>
      <c r="F21" s="11"/>
      <c r="G21" s="7">
        <f>((G17)/100)*6</f>
        <v>0</v>
      </c>
    </row>
    <row r="22" spans="2:7">
      <c r="B22" s="8"/>
      <c r="C22" s="8"/>
      <c r="D22" s="5"/>
      <c r="E22" s="17"/>
      <c r="F22" s="4"/>
      <c r="G22" s="4"/>
    </row>
    <row r="23" spans="2:7">
      <c r="B23" s="25" t="s">
        <v>13</v>
      </c>
      <c r="C23" s="25"/>
      <c r="D23" s="9"/>
      <c r="E23" s="15"/>
      <c r="F23" s="10"/>
      <c r="G23" s="12">
        <f>(G20+G13+G17+G21+G19)</f>
        <v>0</v>
      </c>
    </row>
    <row r="26" spans="2:7">
      <c r="B26" s="23">
        <v>45705</v>
      </c>
      <c r="C26" s="23"/>
      <c r="D26" s="24" t="s">
        <v>14</v>
      </c>
      <c r="E26" s="24"/>
      <c r="F26" s="24"/>
      <c r="G26" s="24"/>
    </row>
    <row r="27" spans="2:7" ht="13.7" customHeight="1"/>
    <row r="28" spans="2:7" ht="13.7" customHeight="1"/>
    <row r="29" spans="2:7" ht="13.7" customHeight="1"/>
    <row r="30" spans="2:7" ht="13.7" customHeight="1"/>
  </sheetData>
  <mergeCells count="13">
    <mergeCell ref="B1:G1"/>
    <mergeCell ref="B2:G2"/>
    <mergeCell ref="B3:G3"/>
    <mergeCell ref="B4:G4"/>
    <mergeCell ref="B5:C5"/>
    <mergeCell ref="F5:G5"/>
    <mergeCell ref="C6:G6"/>
    <mergeCell ref="B8:G8"/>
    <mergeCell ref="B26:C26"/>
    <mergeCell ref="D26:G26"/>
    <mergeCell ref="B13:C13"/>
    <mergeCell ref="B23:C23"/>
    <mergeCell ref="B17:C17"/>
  </mergeCells>
  <hyperlinks>
    <hyperlink ref="F5" r:id="rId1" xr:uid="{00000000-0004-0000-0000-000000000000}"/>
  </hyperlinks>
  <pageMargins left="0" right="0" top="0.39370078740157505" bottom="0.39370078740157505" header="0" footer="0"/>
  <pageSetup paperSize="9" fitToWidth="0" fitToHeight="0" orientation="portrait" r:id="rId2"/>
  <headerFooter>
    <oddHeader>&amp;C&amp;A</oddHeader>
    <oddFooter>&amp;CСтраница &amp;P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20388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revision>47</cp:revision>
  <cp:lastPrinted>2024-12-25T15:19:36Z</cp:lastPrinted>
  <dcterms:created xsi:type="dcterms:W3CDTF">2023-07-09T14:53:31Z</dcterms:created>
  <dcterms:modified xsi:type="dcterms:W3CDTF">2025-08-07T06:30:08Z</dcterms:modified>
</cp:coreProperties>
</file>